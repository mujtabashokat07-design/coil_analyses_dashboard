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coil_analyses_dashboard\"/>
    </mc:Choice>
  </mc:AlternateContent>
  <xr:revisionPtr revIDLastSave="0" documentId="13_ncr:1_{644827B0-BCA9-4750-B237-ED86E1C85FFB}" xr6:coauthVersionLast="47" xr6:coauthVersionMax="47" xr10:uidLastSave="{00000000-0000-0000-0000-000000000000}"/>
  <bookViews>
    <workbookView xWindow="-120" yWindow="-120" windowWidth="29040" windowHeight="15840" xr2:uid="{054EFDE8-BE40-4679-BF0A-1AAACD9C02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1" l="1"/>
  <c r="C37" i="1"/>
  <c r="H37" i="1"/>
  <c r="AE29" i="1"/>
  <c r="AC29" i="1"/>
  <c r="AD29" i="1"/>
  <c r="AF29" i="1"/>
  <c r="AH29" i="1"/>
  <c r="AI29" i="1"/>
</calcChain>
</file>

<file path=xl/sharedStrings.xml><?xml version="1.0" encoding="utf-8"?>
<sst xmlns="http://schemas.openxmlformats.org/spreadsheetml/2006/main" count="67" uniqueCount="38">
  <si>
    <t xml:space="preserve">ENGINEERING ZONE </t>
  </si>
  <si>
    <t>COIL SLIP REGISTER</t>
  </si>
  <si>
    <t>Date</t>
  </si>
  <si>
    <t>Total Size</t>
  </si>
  <si>
    <t>weight</t>
  </si>
  <si>
    <t>Seera</t>
  </si>
  <si>
    <t>coil</t>
  </si>
  <si>
    <t>Scrap</t>
  </si>
  <si>
    <t xml:space="preserve">Total Weigth </t>
  </si>
  <si>
    <t xml:space="preserve">Side Cutting </t>
  </si>
  <si>
    <t>21/6/2026</t>
  </si>
  <si>
    <t>20/6/2026</t>
  </si>
  <si>
    <t>23/6/2026</t>
  </si>
  <si>
    <t>17/6/2026</t>
  </si>
  <si>
    <t>22/6/2026</t>
  </si>
  <si>
    <t>15/6/2026</t>
  </si>
  <si>
    <t>25/7/2026</t>
  </si>
  <si>
    <t>15/7/2026</t>
  </si>
  <si>
    <t>23/7/2026</t>
  </si>
  <si>
    <t>3mm hr</t>
  </si>
  <si>
    <t>1.20 mm cr</t>
  </si>
  <si>
    <t>28/7/2026</t>
  </si>
  <si>
    <t>1.50 mm cr</t>
  </si>
  <si>
    <t>22/8/2026</t>
  </si>
  <si>
    <t>1.14 mm cr</t>
  </si>
  <si>
    <t>24/8/2026</t>
  </si>
  <si>
    <t>19/9/2026</t>
  </si>
  <si>
    <t>230 hr</t>
  </si>
  <si>
    <t>22/9/2026</t>
  </si>
  <si>
    <t>1.51 mm cr</t>
  </si>
  <si>
    <t>24/9/2026</t>
  </si>
  <si>
    <t>1.15 mm cr</t>
  </si>
  <si>
    <t>23/9/2026</t>
  </si>
  <si>
    <t>2mm hr</t>
  </si>
  <si>
    <t>1.15mm cr</t>
  </si>
  <si>
    <t>15/8/2026</t>
  </si>
  <si>
    <t>26/9/2026</t>
  </si>
  <si>
    <t>28/9/2026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</si>
</sst>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2" borderId="0" xfId="1" applyAlignment="1">
      <alignment horizontal="center"/>
    </xf>
    <xf numFmtId="0" fontId="1" fillId="3" borderId="0" xfId="2" applyAlignment="1">
      <alignment horizontal="center"/>
    </xf>
    <xf numFmtId="14" fontId="1" fillId="3" borderId="0" xfId="2" applyNumberFormat="1" applyAlignment="1">
      <alignment horizontal="center"/>
    </xf>
    <xf numFmtId="0" fontId="3" fillId="2" borderId="2" xfId="1" applyFont="1" applyBorder="1" applyAlignment="1">
      <alignment horizontal="center"/>
    </xf>
    <xf numFmtId="0" fontId="3" fillId="2" borderId="3" xfId="1" applyFont="1" applyBorder="1" applyAlignment="1">
      <alignment horizontal="center"/>
    </xf>
    <xf numFmtId="0" fontId="3" fillId="2" borderId="4" xfId="1" applyFont="1" applyBorder="1" applyAlignment="1">
      <alignment horizontal="center"/>
    </xf>
    <xf numFmtId="0" fontId="1" fillId="4" borderId="1" xfId="3" applyBorder="1" applyAlignment="1">
      <alignment horizontal="center"/>
    </xf>
  </cellXfs>
  <cellStyles count="4">
    <cellStyle name="20% - Accent1" xfId="2" builtinId="30"/>
    <cellStyle name="60% - Accent5" xfId="3" builtinId="48"/>
    <cellStyle name="Accent1" xfId="1" builtinId="29"/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DB8CF6-453A-4C08-8F6D-AB52B471B84A}" name="Table1" displayName="Table1" ref="A4:H35" totalsRowShown="0" headerRowDxfId="0" dataDxfId="1" headerRowCellStyle="Accent1" dataCellStyle="20% - Accent1">
  <autoFilter ref="A4:H35" xr:uid="{DFDB8CF6-453A-4C08-8F6D-AB52B471B84A}"/>
  <tableColumns count="8">
    <tableColumn id="1" xr3:uid="{A4A09C78-8D0E-49CF-AF33-5B05FB28EAEF}" name="Date" dataDxfId="9" dataCellStyle="20% - Accent1"/>
    <tableColumn id="2" xr3:uid="{1F5B70D0-4F91-4980-A077-AA81A146B280}" name="Total Size" dataDxfId="8" dataCellStyle="20% - Accent1"/>
    <tableColumn id="3" xr3:uid="{5D94E44E-0656-4EF5-91EC-466499266E2B}" name="weight" dataDxfId="7" dataCellStyle="20% - Accent1"/>
    <tableColumn id="4" xr3:uid="{E40ABBE9-A2CA-40F8-A506-AA7E7F811AEA}" name="Seera" dataDxfId="6" dataCellStyle="20% - Accent1"/>
    <tableColumn id="5" xr3:uid="{27163DF5-B5BE-4820-A37D-BBF7D9618D96}" name="Side Cutting " dataDxfId="5" dataCellStyle="20% - Accent1"/>
    <tableColumn id="6" xr3:uid="{2E8DCF21-0BF7-47CF-AD38-91249770AED2}" name="coil" dataDxfId="4" dataCellStyle="20% - Accent1"/>
    <tableColumn id="7" xr3:uid="{C734728A-F870-43EC-83A4-C870F8122C10}" name="Scrap" dataDxfId="3" dataCellStyle="20% - Accent1"/>
    <tableColumn id="8" xr3:uid="{F2371450-7071-4F1B-9E8F-541317D9F120}" name="Total Weigth " dataDxfId="2" dataCellStyle="20% - Accent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B932B-D5BD-441E-9F2D-EF11054A8024}">
  <dimension ref="A1:AI43"/>
  <sheetViews>
    <sheetView tabSelected="1" topLeftCell="A3" zoomScaleNormal="100" workbookViewId="0">
      <selection activeCell="P9" sqref="P9"/>
    </sheetView>
  </sheetViews>
  <sheetFormatPr defaultRowHeight="15" x14ac:dyDescent="0.25"/>
  <cols>
    <col min="1" max="1" width="9.7109375" bestFit="1" customWidth="1"/>
    <col min="2" max="2" width="14" bestFit="1" customWidth="1"/>
    <col min="3" max="3" width="11.7109375" bestFit="1" customWidth="1"/>
    <col min="4" max="4" width="10.5703125" bestFit="1" customWidth="1"/>
    <col min="5" max="5" width="16.7109375" bestFit="1" customWidth="1"/>
    <col min="6" max="6" width="10.42578125" bestFit="1" customWidth="1"/>
    <col min="7" max="7" width="10.28515625" bestFit="1" customWidth="1"/>
    <col min="8" max="8" width="17.42578125" bestFit="1" customWidth="1"/>
  </cols>
  <sheetData>
    <row r="1" spans="1:13" ht="31.5" x14ac:dyDescent="0.5">
      <c r="D1" s="5" t="s">
        <v>0</v>
      </c>
      <c r="E1" s="6"/>
      <c r="F1" s="6"/>
      <c r="G1" s="6"/>
      <c r="H1" s="6"/>
      <c r="I1" s="6"/>
      <c r="J1" s="6"/>
      <c r="K1" s="6"/>
      <c r="L1" s="6"/>
      <c r="M1" s="7"/>
    </row>
    <row r="2" spans="1:13" x14ac:dyDescent="0.25">
      <c r="D2" s="8" t="s">
        <v>1</v>
      </c>
      <c r="E2" s="8"/>
      <c r="F2" s="8"/>
      <c r="G2" s="8"/>
      <c r="H2" s="8"/>
      <c r="I2" s="8"/>
      <c r="J2" s="8"/>
      <c r="K2" s="8"/>
      <c r="L2" s="8"/>
      <c r="M2" s="8"/>
    </row>
    <row r="4" spans="1:1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9</v>
      </c>
      <c r="F4" s="2" t="s">
        <v>6</v>
      </c>
      <c r="G4" s="2" t="s">
        <v>7</v>
      </c>
      <c r="H4" s="2" t="s">
        <v>8</v>
      </c>
    </row>
    <row r="5" spans="1:13" x14ac:dyDescent="0.25">
      <c r="A5" s="4">
        <v>46332</v>
      </c>
      <c r="B5" s="3">
        <v>1216</v>
      </c>
      <c r="C5" s="3">
        <v>20619</v>
      </c>
      <c r="D5" s="3">
        <v>31</v>
      </c>
      <c r="E5" s="3">
        <v>203</v>
      </c>
      <c r="F5" s="3" t="s">
        <v>19</v>
      </c>
      <c r="G5" s="3">
        <v>234</v>
      </c>
      <c r="H5" s="3">
        <v>20853</v>
      </c>
    </row>
    <row r="6" spans="1:13" x14ac:dyDescent="0.25">
      <c r="A6" s="3" t="s">
        <v>15</v>
      </c>
      <c r="B6" s="3">
        <v>1216</v>
      </c>
      <c r="C6" s="3">
        <v>20756</v>
      </c>
      <c r="D6" s="3">
        <v>36</v>
      </c>
      <c r="E6" s="3">
        <v>229</v>
      </c>
      <c r="F6" s="3" t="s">
        <v>19</v>
      </c>
      <c r="G6" s="3">
        <v>265</v>
      </c>
      <c r="H6" s="3">
        <v>21021</v>
      </c>
    </row>
    <row r="7" spans="1:13" x14ac:dyDescent="0.25">
      <c r="A7" s="3" t="s">
        <v>15</v>
      </c>
      <c r="B7" s="3">
        <v>1216</v>
      </c>
      <c r="C7" s="3">
        <v>20732</v>
      </c>
      <c r="D7" s="3">
        <v>28</v>
      </c>
      <c r="E7" s="3">
        <v>233</v>
      </c>
      <c r="F7" s="3" t="s">
        <v>19</v>
      </c>
      <c r="G7" s="3">
        <v>261</v>
      </c>
      <c r="H7" s="3">
        <v>20993</v>
      </c>
    </row>
    <row r="8" spans="1:13" x14ac:dyDescent="0.25">
      <c r="A8" s="3" t="s">
        <v>13</v>
      </c>
      <c r="B8" s="3">
        <v>1265</v>
      </c>
      <c r="C8" s="3">
        <v>21432</v>
      </c>
      <c r="D8" s="3">
        <v>30</v>
      </c>
      <c r="E8" s="3">
        <v>200</v>
      </c>
      <c r="F8" s="3" t="s">
        <v>19</v>
      </c>
      <c r="G8" s="3">
        <v>230</v>
      </c>
      <c r="H8" s="3">
        <v>21662</v>
      </c>
    </row>
    <row r="9" spans="1:13" x14ac:dyDescent="0.25">
      <c r="A9" s="3" t="s">
        <v>11</v>
      </c>
      <c r="B9" s="3">
        <v>1265</v>
      </c>
      <c r="C9" s="3">
        <v>21426</v>
      </c>
      <c r="D9" s="3">
        <v>32</v>
      </c>
      <c r="E9" s="3">
        <v>235</v>
      </c>
      <c r="F9" s="3" t="s">
        <v>19</v>
      </c>
      <c r="G9" s="3">
        <v>267</v>
      </c>
      <c r="H9" s="3">
        <v>21693</v>
      </c>
    </row>
    <row r="10" spans="1:13" x14ac:dyDescent="0.25">
      <c r="A10" s="3" t="s">
        <v>10</v>
      </c>
      <c r="B10" s="3">
        <v>1267</v>
      </c>
      <c r="C10" s="3">
        <v>20573</v>
      </c>
      <c r="D10" s="3">
        <v>43</v>
      </c>
      <c r="E10" s="3">
        <v>229</v>
      </c>
      <c r="F10" s="3" t="s">
        <v>19</v>
      </c>
      <c r="G10" s="3">
        <v>272</v>
      </c>
      <c r="H10" s="3">
        <v>20845</v>
      </c>
    </row>
    <row r="11" spans="1:13" x14ac:dyDescent="0.25">
      <c r="A11" s="3" t="s">
        <v>14</v>
      </c>
      <c r="B11" s="3">
        <v>1264</v>
      </c>
      <c r="C11" s="3">
        <v>21610</v>
      </c>
      <c r="D11" s="3">
        <v>23</v>
      </c>
      <c r="E11" s="3">
        <v>181</v>
      </c>
      <c r="F11" s="3" t="s">
        <v>19</v>
      </c>
      <c r="G11" s="3">
        <v>204</v>
      </c>
      <c r="H11" s="3">
        <v>21814</v>
      </c>
    </row>
    <row r="12" spans="1:13" x14ac:dyDescent="0.25">
      <c r="A12" s="3" t="s">
        <v>12</v>
      </c>
      <c r="B12" s="3">
        <v>1269</v>
      </c>
      <c r="C12" s="3">
        <v>21208</v>
      </c>
      <c r="D12" s="3">
        <v>37</v>
      </c>
      <c r="E12" s="3">
        <v>198</v>
      </c>
      <c r="F12" s="3" t="s">
        <v>19</v>
      </c>
      <c r="G12" s="3">
        <v>235</v>
      </c>
      <c r="H12" s="3">
        <v>21443</v>
      </c>
    </row>
    <row r="13" spans="1:13" x14ac:dyDescent="0.25">
      <c r="A13" s="4">
        <v>46029</v>
      </c>
      <c r="B13" s="3">
        <v>1259</v>
      </c>
      <c r="C13" s="3">
        <v>22728</v>
      </c>
      <c r="D13" s="3">
        <v>38</v>
      </c>
      <c r="E13" s="3">
        <v>263</v>
      </c>
      <c r="F13" s="3" t="s">
        <v>19</v>
      </c>
      <c r="G13" s="3">
        <v>301</v>
      </c>
      <c r="H13" s="3">
        <v>23029</v>
      </c>
    </row>
    <row r="14" spans="1:13" x14ac:dyDescent="0.25">
      <c r="A14" s="4">
        <v>46029</v>
      </c>
      <c r="B14" s="3">
        <v>1259</v>
      </c>
      <c r="C14" s="3">
        <v>22693</v>
      </c>
      <c r="D14" s="3">
        <v>39</v>
      </c>
      <c r="E14" s="3">
        <v>276</v>
      </c>
      <c r="F14" s="3" t="s">
        <v>19</v>
      </c>
      <c r="G14" s="3">
        <v>315</v>
      </c>
      <c r="H14" s="3">
        <v>23008</v>
      </c>
    </row>
    <row r="15" spans="1:13" x14ac:dyDescent="0.25">
      <c r="A15" s="4">
        <v>46149</v>
      </c>
      <c r="B15" s="3">
        <v>1259</v>
      </c>
      <c r="C15" s="3">
        <v>22669</v>
      </c>
      <c r="D15" s="3">
        <v>41</v>
      </c>
      <c r="E15" s="3">
        <v>270</v>
      </c>
      <c r="F15" s="3" t="s">
        <v>19</v>
      </c>
      <c r="G15" s="3">
        <v>311</v>
      </c>
      <c r="H15" s="3">
        <v>22980</v>
      </c>
    </row>
    <row r="16" spans="1:13" x14ac:dyDescent="0.25">
      <c r="A16" s="4">
        <v>46241</v>
      </c>
      <c r="B16" s="3">
        <v>1256</v>
      </c>
      <c r="C16" s="3">
        <v>22475</v>
      </c>
      <c r="D16" s="3">
        <v>56</v>
      </c>
      <c r="E16" s="3">
        <v>275</v>
      </c>
      <c r="F16" s="3" t="s">
        <v>19</v>
      </c>
      <c r="G16" s="3">
        <v>331</v>
      </c>
      <c r="H16" s="3">
        <v>22806</v>
      </c>
    </row>
    <row r="17" spans="1:35" x14ac:dyDescent="0.25">
      <c r="A17" s="4" t="s">
        <v>17</v>
      </c>
      <c r="B17" s="3">
        <v>1256</v>
      </c>
      <c r="C17" s="3">
        <v>22524</v>
      </c>
      <c r="D17" s="3">
        <v>39</v>
      </c>
      <c r="E17" s="3">
        <v>292</v>
      </c>
      <c r="F17" s="3" t="s">
        <v>19</v>
      </c>
      <c r="G17" s="3">
        <v>331</v>
      </c>
      <c r="H17" s="3">
        <v>22855</v>
      </c>
    </row>
    <row r="18" spans="1:35" x14ac:dyDescent="0.25">
      <c r="A18" s="3" t="s">
        <v>18</v>
      </c>
      <c r="B18" s="3">
        <v>1198</v>
      </c>
      <c r="C18" s="3">
        <v>11129</v>
      </c>
      <c r="D18" s="3"/>
      <c r="E18" s="3">
        <v>283</v>
      </c>
      <c r="F18" s="3" t="s">
        <v>20</v>
      </c>
      <c r="G18" s="3">
        <v>283</v>
      </c>
      <c r="H18" s="3">
        <v>11412</v>
      </c>
    </row>
    <row r="19" spans="1:35" x14ac:dyDescent="0.25">
      <c r="A19" s="3" t="s">
        <v>18</v>
      </c>
      <c r="B19" s="3">
        <v>2158</v>
      </c>
      <c r="C19" s="3">
        <v>11112</v>
      </c>
      <c r="D19" s="3"/>
      <c r="E19" s="3">
        <v>293</v>
      </c>
      <c r="F19" s="3" t="s">
        <v>20</v>
      </c>
      <c r="G19" s="3">
        <v>293</v>
      </c>
      <c r="H19" s="3">
        <v>11405</v>
      </c>
    </row>
    <row r="20" spans="1:35" x14ac:dyDescent="0.25">
      <c r="A20" s="3" t="s">
        <v>16</v>
      </c>
      <c r="B20" s="3">
        <v>1256</v>
      </c>
      <c r="C20" s="3">
        <v>22536</v>
      </c>
      <c r="D20" s="3">
        <v>37</v>
      </c>
      <c r="E20" s="3">
        <v>251</v>
      </c>
      <c r="F20" s="3" t="s">
        <v>19</v>
      </c>
      <c r="G20" s="3">
        <v>288</v>
      </c>
      <c r="H20" s="3">
        <v>22824</v>
      </c>
    </row>
    <row r="21" spans="1:35" x14ac:dyDescent="0.25">
      <c r="A21" s="3" t="s">
        <v>16</v>
      </c>
      <c r="B21" s="3">
        <v>1256</v>
      </c>
      <c r="C21" s="3">
        <v>22502</v>
      </c>
      <c r="D21" s="3">
        <v>42</v>
      </c>
      <c r="E21" s="3">
        <v>279</v>
      </c>
      <c r="F21" s="3" t="s">
        <v>19</v>
      </c>
      <c r="G21" s="3">
        <v>321</v>
      </c>
      <c r="H21" s="3">
        <v>22823</v>
      </c>
    </row>
    <row r="22" spans="1:35" x14ac:dyDescent="0.25">
      <c r="A22" s="3" t="s">
        <v>21</v>
      </c>
      <c r="B22" s="3">
        <v>1241</v>
      </c>
      <c r="C22" s="3">
        <v>11279</v>
      </c>
      <c r="D22" s="3"/>
      <c r="E22" s="3">
        <v>96</v>
      </c>
      <c r="F22" s="3" t="s">
        <v>22</v>
      </c>
      <c r="G22" s="3">
        <v>96</v>
      </c>
      <c r="H22" s="3">
        <v>11375</v>
      </c>
    </row>
    <row r="23" spans="1:35" x14ac:dyDescent="0.25">
      <c r="A23" s="3" t="s">
        <v>35</v>
      </c>
      <c r="B23" s="3">
        <v>1265</v>
      </c>
      <c r="C23" s="3">
        <v>21394</v>
      </c>
      <c r="D23" s="3">
        <v>40</v>
      </c>
      <c r="E23" s="3">
        <v>198</v>
      </c>
      <c r="F23" s="3" t="s">
        <v>19</v>
      </c>
      <c r="G23" s="3">
        <v>238</v>
      </c>
      <c r="H23" s="3">
        <v>21632</v>
      </c>
    </row>
    <row r="24" spans="1:35" x14ac:dyDescent="0.25">
      <c r="A24" s="3" t="s">
        <v>23</v>
      </c>
      <c r="B24" s="3">
        <v>1201</v>
      </c>
      <c r="C24" s="3">
        <v>10610</v>
      </c>
      <c r="D24" s="3"/>
      <c r="E24" s="3">
        <v>233</v>
      </c>
      <c r="F24" s="3" t="s">
        <v>24</v>
      </c>
      <c r="G24" s="3">
        <v>233</v>
      </c>
      <c r="H24" s="3">
        <v>10843</v>
      </c>
    </row>
    <row r="25" spans="1:35" x14ac:dyDescent="0.25">
      <c r="A25" s="3" t="s">
        <v>25</v>
      </c>
      <c r="B25" s="3">
        <v>1267</v>
      </c>
      <c r="C25" s="3">
        <v>22541</v>
      </c>
      <c r="D25" s="3">
        <v>31</v>
      </c>
      <c r="E25" s="3">
        <v>126</v>
      </c>
      <c r="F25" s="3" t="s">
        <v>19</v>
      </c>
      <c r="G25" s="3">
        <v>157</v>
      </c>
      <c r="H25" s="3">
        <v>22698</v>
      </c>
    </row>
    <row r="26" spans="1:35" x14ac:dyDescent="0.25">
      <c r="A26" s="3" t="s">
        <v>26</v>
      </c>
      <c r="B26" s="3">
        <v>1216</v>
      </c>
      <c r="C26" s="3">
        <v>22584</v>
      </c>
      <c r="D26" s="3">
        <v>22</v>
      </c>
      <c r="E26" s="3">
        <v>184</v>
      </c>
      <c r="F26" s="3" t="s">
        <v>27</v>
      </c>
      <c r="G26" s="3">
        <v>206</v>
      </c>
      <c r="H26" s="3">
        <v>22790</v>
      </c>
    </row>
    <row r="27" spans="1:35" x14ac:dyDescent="0.25">
      <c r="A27" s="3" t="s">
        <v>26</v>
      </c>
      <c r="B27" s="3">
        <v>1213</v>
      </c>
      <c r="C27" s="3">
        <v>22326</v>
      </c>
      <c r="D27" s="3">
        <v>25</v>
      </c>
      <c r="E27" s="3">
        <v>192</v>
      </c>
      <c r="F27" s="3" t="s">
        <v>27</v>
      </c>
      <c r="G27" s="3">
        <v>217</v>
      </c>
      <c r="H27" s="3">
        <v>22543</v>
      </c>
    </row>
    <row r="28" spans="1:35" x14ac:dyDescent="0.25">
      <c r="A28" s="3" t="s">
        <v>28</v>
      </c>
      <c r="B28" s="3">
        <v>1198</v>
      </c>
      <c r="C28" s="3">
        <v>7403</v>
      </c>
      <c r="D28" s="3"/>
      <c r="E28" s="3">
        <v>161</v>
      </c>
      <c r="F28" s="3" t="s">
        <v>29</v>
      </c>
      <c r="G28" s="3">
        <v>161</v>
      </c>
      <c r="H28" s="3">
        <v>7564</v>
      </c>
    </row>
    <row r="29" spans="1:35" x14ac:dyDescent="0.25">
      <c r="A29" s="3" t="s">
        <v>28</v>
      </c>
      <c r="B29" s="3">
        <v>1198</v>
      </c>
      <c r="C29" s="3">
        <v>7498</v>
      </c>
      <c r="D29" s="3"/>
      <c r="E29" s="3">
        <v>190</v>
      </c>
      <c r="F29" s="3" t="s">
        <v>31</v>
      </c>
      <c r="G29" s="3">
        <v>190</v>
      </c>
      <c r="H29" s="3">
        <v>7688</v>
      </c>
      <c r="AC29">
        <f>SUM(B5:B35)</f>
        <v>39182</v>
      </c>
      <c r="AD29">
        <f>SUM(C5:C35)</f>
        <v>549609</v>
      </c>
      <c r="AE29">
        <f>SUM(D5:D27)</f>
        <v>670</v>
      </c>
      <c r="AF29">
        <f>SUM(E5:E35)</f>
        <v>6574</v>
      </c>
      <c r="AH29">
        <f>SUM(G5:G35)</f>
        <v>7244</v>
      </c>
      <c r="AI29" s="1">
        <f>SUM(H5:H35)</f>
        <v>556853</v>
      </c>
    </row>
    <row r="30" spans="1:35" x14ac:dyDescent="0.25">
      <c r="A30" s="3" t="s">
        <v>32</v>
      </c>
      <c r="B30" s="3">
        <v>1216</v>
      </c>
      <c r="C30" s="3">
        <v>23466</v>
      </c>
      <c r="D30" s="3"/>
      <c r="E30" s="3">
        <v>225</v>
      </c>
      <c r="F30" s="3" t="s">
        <v>33</v>
      </c>
      <c r="G30" s="3">
        <v>225</v>
      </c>
      <c r="H30" s="3">
        <v>23691</v>
      </c>
    </row>
    <row r="31" spans="1:35" x14ac:dyDescent="0.25">
      <c r="A31" s="3" t="s">
        <v>32</v>
      </c>
      <c r="B31" s="3">
        <v>1198</v>
      </c>
      <c r="C31" s="3">
        <v>7375</v>
      </c>
      <c r="D31" s="3"/>
      <c r="E31" s="3">
        <v>192</v>
      </c>
      <c r="F31" s="3" t="s">
        <v>34</v>
      </c>
      <c r="G31" s="3">
        <v>192</v>
      </c>
      <c r="H31" s="3">
        <v>7567</v>
      </c>
    </row>
    <row r="32" spans="1:35" x14ac:dyDescent="0.25">
      <c r="A32" s="3" t="s">
        <v>30</v>
      </c>
      <c r="B32" s="3">
        <v>1216</v>
      </c>
      <c r="C32" s="3">
        <v>22142</v>
      </c>
      <c r="D32" s="3"/>
      <c r="E32" s="3">
        <v>214</v>
      </c>
      <c r="F32" s="3" t="s">
        <v>27</v>
      </c>
      <c r="G32" s="3">
        <v>214</v>
      </c>
      <c r="H32" s="3">
        <v>22356</v>
      </c>
    </row>
    <row r="33" spans="1:9" x14ac:dyDescent="0.25">
      <c r="A33" s="3" t="s">
        <v>36</v>
      </c>
      <c r="B33" s="3">
        <v>1204</v>
      </c>
      <c r="C33" s="3">
        <v>7982</v>
      </c>
      <c r="D33" s="3"/>
      <c r="E33" s="3">
        <v>121</v>
      </c>
      <c r="F33" s="3" t="s">
        <v>34</v>
      </c>
      <c r="G33" s="3">
        <v>121</v>
      </c>
      <c r="H33" s="3">
        <v>8103</v>
      </c>
    </row>
    <row r="34" spans="1:9" x14ac:dyDescent="0.25">
      <c r="A34" s="3" t="s">
        <v>37</v>
      </c>
      <c r="B34" s="3">
        <v>1207</v>
      </c>
      <c r="C34" s="3">
        <v>6941</v>
      </c>
      <c r="D34" s="3"/>
      <c r="E34" s="3">
        <v>122</v>
      </c>
      <c r="F34" s="3" t="s">
        <v>34</v>
      </c>
      <c r="G34" s="3">
        <v>122</v>
      </c>
      <c r="H34" s="3">
        <v>7063</v>
      </c>
      <c r="I34" s="1"/>
    </row>
    <row r="35" spans="1:9" x14ac:dyDescent="0.25">
      <c r="A35" s="3" t="s">
        <v>37</v>
      </c>
      <c r="B35" s="3">
        <v>1207</v>
      </c>
      <c r="C35" s="3">
        <v>7344</v>
      </c>
      <c r="D35" s="3"/>
      <c r="E35" s="3">
        <v>130</v>
      </c>
      <c r="F35" s="3" t="s">
        <v>34</v>
      </c>
      <c r="G35" s="3">
        <v>130</v>
      </c>
      <c r="H35" s="3">
        <v>7474</v>
      </c>
    </row>
    <row r="37" spans="1:9" x14ac:dyDescent="0.25">
      <c r="C37">
        <f>SUM(Table1[weight])</f>
        <v>549609</v>
      </c>
      <c r="G37">
        <f>SUM(Table1[Scrap])</f>
        <v>7244</v>
      </c>
      <c r="H37">
        <f>SUM(Table1[[Total Weigth ]])</f>
        <v>556853</v>
      </c>
    </row>
    <row r="41" spans="1:9" x14ac:dyDescent="0.25">
      <c r="A41" s="1"/>
      <c r="B41" s="1"/>
      <c r="C41" s="1"/>
      <c r="D41" s="1"/>
      <c r="E41" s="1"/>
      <c r="F41" s="1"/>
      <c r="G41" s="1"/>
      <c r="H41" s="1"/>
    </row>
    <row r="42" spans="1:9" x14ac:dyDescent="0.25">
      <c r="A42" s="1"/>
      <c r="B42" s="1"/>
      <c r="C42" s="1"/>
      <c r="D42" s="1"/>
      <c r="E42" s="1"/>
      <c r="F42" s="1"/>
      <c r="G42" s="1"/>
      <c r="H42" s="1"/>
    </row>
    <row r="43" spans="1:9" x14ac:dyDescent="0.25">
      <c r="A43" s="1"/>
      <c r="B43" s="1"/>
      <c r="C43" s="1"/>
      <c r="D43" s="1"/>
      <c r="E43" s="1"/>
      <c r="F43" s="1"/>
      <c r="G43" s="1"/>
      <c r="H43" s="1"/>
    </row>
  </sheetData>
  <mergeCells count="2">
    <mergeCell ref="D1:M1"/>
    <mergeCell ref="D2:M2"/>
  </mergeCells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hayat</dc:creator>
  <cp:lastModifiedBy>Mujtaba hayat</cp:lastModifiedBy>
  <dcterms:created xsi:type="dcterms:W3CDTF">2026-10-05T06:02:50Z</dcterms:created>
  <dcterms:modified xsi:type="dcterms:W3CDTF">2026-10-06T10:04:00Z</dcterms:modified>
</cp:coreProperties>
</file>